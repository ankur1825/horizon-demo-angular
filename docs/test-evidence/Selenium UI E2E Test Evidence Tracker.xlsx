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a4ab0add8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357d20014c4dd4"/>
    <x:sheet xmlns:r="http://schemas.openxmlformats.org/officeDocument/2006/relationships" name="Evidence Tracker" sheetId="2" r:id="R5ff4437c883f4156"/>
    <x:sheet xmlns:r="http://schemas.openxmlformats.org/officeDocument/2006/relationships" name="Defects" sheetId="3" r:id="R6da70aad26824d86"/>
    <x:sheet xmlns:r="http://schemas.openxmlformats.org/officeDocument/2006/relationships" name="Run Config" sheetId="4" r:id="R35c6cd9c2f92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1ba1a08144ab7" /><Relationship Type="http://schemas.openxmlformats.org/officeDocument/2006/relationships/theme" Target="/xl/theme/theme1.xml" Id="R3b9dcfe08c4f4f3b" /><Relationship Type="http://schemas.openxmlformats.org/officeDocument/2006/relationships/sharedStrings" Target="/xl/sharedStrings.xml" Id="R061f31203dd44a1c" /><Relationship Type="http://schemas.openxmlformats.org/officeDocument/2006/relationships/worksheet" Target="/xl/worksheets/sheet1.xml" Id="R20357d20014c4dd4" /><Relationship Type="http://schemas.openxmlformats.org/officeDocument/2006/relationships/worksheet" Target="/xl/worksheets/sheet2.xml" Id="R5ff4437c883f4156" /><Relationship Type="http://schemas.openxmlformats.org/officeDocument/2006/relationships/worksheet" Target="/xl/worksheets/sheet3.xml" Id="R6da70aad26824d86" /><Relationship Type="http://schemas.openxmlformats.org/officeDocument/2006/relationships/worksheet" Target="/xl/worksheets/sheet4.xml" Id="R35c6cd9c2f924f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Horizon Relevance - Selenium UI E2E Test Evidence</x:v>
      </x:c>
      <x:c r="B1" s="3" t="str">
        <x:v>Horizon Relevance - Selenium UI E2E Test Evidence</x:v>
      </x:c>
      <x:c r="C1" s="3" t="str">
        <x:v>Horizon Relevance - Selenium UI E2E Test Evidence</x:v>
      </x:c>
      <x:c r="D1" s="3" t="str">
        <x:v>Horizon Relevance - Selenium UI E2E Test Evidence</x:v>
      </x:c>
      <x:c r="E1" s="3" t="str">
        <x:v>Horizon Relevance - Selenium UI E2E Test Evidence</x:v>
      </x:c>
      <x:c r="F1" s="3" t="str">
        <x:v>Horizon Relevance - Selenium UI E2E Test Evidence</x:v>
      </x:c>
      <x:c r="G1" s="3" t="str">
        <x:v>Horizon Relevance - Selenium UI E2E Test Evidence</x:v>
      </x:c>
      <x:c r="H1" s="3" t="str">
        <x:v>Horizon Relevance - Selenium UI E2E Test Evidence</x:v>
      </x:c>
      <x:c r="I1" s="2"/>
      <x:c r="J1" s="2"/>
      <x:c r="K1" s="2"/>
    </x:row>
    <x:row r="3">
      <x:c r="A3" s="4" t="str">
        <x:v>Application</x:v>
      </x:c>
      <x:c r="B3" t="str">
        <x:v>horizon-demo-angular</x:v>
      </x:c>
      <x:c r="D3" s="2" t="str">
        <x:v>Metric</x:v>
      </x:c>
      <x:c r="E3" s="2" t="str">
        <x:v>Formula</x:v>
      </x:c>
      <x:c r="F3" s="2" t="str">
        <x:v>Current</x:v>
      </x:c>
    </x:row>
    <x:row r="4">
      <x:c r="A4" s="4" t="str">
        <x:v>Repository</x:v>
      </x:c>
      <x:c r="B4" t="str">
        <x:v>https://github.com/ankur1825/horizon-demo-angular</x:v>
      </x:c>
      <x:c r="D4" s="1" t="str">
        <x:v>Total Steps</x:v>
      </x:c>
      <x:c r="E4" s="1" t="n">
        <x:f>COUNTA('Evidence Tracker'!A:A)-1</x:f>
        <x:v>30</x:v>
      </x:c>
      <x:c r="F4" s="1" t="str"/>
    </x:row>
    <x:row r="5">
      <x:c r="A5" s="4" t="str">
        <x:v>Project Type</x:v>
      </x:c>
      <x:c r="B5" t="str">
        <x:v>Angular</x:v>
      </x:c>
      <x:c r="D5" s="1" t="str">
        <x:v>Passed</x:v>
      </x:c>
      <x:c r="E5" s="1" t="n">
        <x:f>COUNTIF('Evidence Tracker'!J:J,"Pass")</x:f>
        <x:v>0</x:v>
      </x:c>
      <x:c r="F5" s="1" t="str"/>
    </x:row>
    <x:row r="6">
      <x:c r="A6" s="4" t="str">
        <x:v>Devops Pipeline DEV Status</x:v>
      </x:c>
      <x:c r="B6" t="str"/>
      <x:c r="D6" s="1" t="str">
        <x:v>Failed</x:v>
      </x:c>
      <x:c r="E6" s="1" t="n">
        <x:f>COUNTIF('Evidence Tracker'!J:J,"Fail")</x:f>
        <x:v>0</x:v>
      </x:c>
      <x:c r="F6" s="1" t="str"/>
    </x:row>
    <x:row r="7">
      <x:c r="A7" s="4" t="str">
        <x:v>Devops Pipeline QA Status</x:v>
      </x:c>
      <x:c r="B7" t="str"/>
      <x:c r="D7" s="1" t="str">
        <x:v>Blocked</x:v>
      </x:c>
      <x:c r="E7" s="1" t="n">
        <x:f>COUNTIF('Evidence Tracker'!J:J,"Blocked")</x:f>
        <x:v>0</x:v>
      </x:c>
      <x:c r="F7" s="1" t="str"/>
    </x:row>
    <x:row r="8">
      <x:c r="A8" s="4" t="str">
        <x:v>Selenium Test Pipeline Status</x:v>
      </x:c>
      <x:c r="B8" t="str"/>
    </x:row>
    <x:row r="9">
      <x:c r="A9" s="4" t="str">
        <x:v>Overall Status</x:v>
      </x:c>
      <x:c r="B9" t="str">
        <x:f>IF(COUNTIF('Evidence Tracker'!J:J,"Fail")&gt;0,"Fail",IF(COUNTIF('Evidence Tracker'!J:J,"Blocked")&gt;0,"Blocked",IF(COUNTIF('Evidence Tracker'!J:J,"Pass")&gt;=20,"Pass","In Progress")))</x:f>
        <x:v>In Progress</x:v>
      </x:c>
    </x:row>
    <x:row r="10">
      <x:c r="A10" s="4" t="str">
        <x:v>Tester</x:v>
      </x:c>
      <x:c r="B10" t="str"/>
    </x:row>
    <x:row r="11">
      <x:c r="A11" s="4" t="str">
        <x:v>Execution Date</x:v>
      </x:c>
      <x:c r="B11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Test ID</x:v>
      </x:c>
      <x:c r="B1" s="5" t="str">
        <x:v>Phase</x:v>
      </x:c>
      <x:c r="C1" s="5" t="str">
        <x:v>Step</x:v>
      </x:c>
      <x:c r="D1" s="5" t="str">
        <x:v>Action</x:v>
      </x:c>
      <x:c r="E1" s="5" t="str">
        <x:v>Expected Result</x:v>
      </x:c>
      <x:c r="F1" s="5" t="str">
        <x:v>Actual Result</x:v>
      </x:c>
      <x:c r="G1" s="5" t="str">
        <x:v>Evidence Link</x:v>
      </x:c>
      <x:c r="H1" s="5" t="str">
        <x:v>Owner</x:v>
      </x:c>
      <x:c r="I1" s="5" t="str">
        <x:v>Execution Date</x:v>
      </x:c>
      <x:c r="J1" s="5" t="str">
        <x:v>Status</x:v>
      </x:c>
      <x:c r="K1" s="5" t="str">
        <x:v>Comments</x:v>
      </x:c>
    </x:row>
    <x:row r="2">
      <x:c r="A2" s="6" t="str">
        <x:v>TC-001</x:v>
      </x:c>
      <x:c r="B2" s="6" t="str">
        <x:v>Precheck</x:v>
      </x:c>
      <x:c r="C2" s="6" t="str">
        <x:v>Open product UI</x:v>
      </x:c>
      <x:c r="D2" s="6" t="str">
        <x:v>Browse to https://horizonrelevance.com/pipeline/</x:v>
      </x:c>
      <x:c r="E2" s="6" t="str">
        <x:v>Product UI loads</x:v>
      </x:c>
      <x:c r="F2" s="6" t="str"/>
      <x:c r="G2" s="6" t="str"/>
      <x:c r="H2" s="6" t="str"/>
      <x:c r="I2" s="6" t="str"/>
      <x:c r="J2" s="6" t="str"/>
      <x:c r="K2" s="6" t="str"/>
    </x:row>
    <x:row r="3">
      <x:c r="A3" s="6" t="str">
        <x:v>TC-002</x:v>
      </x:c>
      <x:c r="B3" s="6" t="str">
        <x:v>Precheck</x:v>
      </x:c>
      <x:c r="C3" s="6" t="str">
        <x:v>Open backend docs</x:v>
      </x:c>
      <x:c r="D3" s="6" t="str">
        <x:v>Browse to /pipeline/api/docs</x:v>
      </x:c>
      <x:c r="E3" s="6" t="str">
        <x:v>Backend docs loads with HTTP 200</x:v>
      </x:c>
      <x:c r="F3" s="6" t="str"/>
      <x:c r="G3" s="6" t="str"/>
      <x:c r="H3" s="6" t="str"/>
      <x:c r="I3" s="6" t="str"/>
      <x:c r="J3" s="6" t="str"/>
      <x:c r="K3" s="6" t="str"/>
    </x:row>
    <x:row r="4">
      <x:c r="A4" s="6" t="str">
        <x:v>TC-003</x:v>
      </x:c>
      <x:c r="B4" s="6" t="str">
        <x:v>Precheck</x:v>
      </x:c>
      <x:c r="C4" s="6" t="str">
        <x:v>Login to product</x:v>
      </x:c>
      <x:c r="D4" s="6" t="str">
        <x:v>Login using LDAP-backed user</x:v>
      </x:c>
      <x:c r="E4" s="6" t="str">
        <x:v>Login succeeds and pipeline form is visible</x:v>
      </x:c>
      <x:c r="F4" s="6" t="str"/>
      <x:c r="G4" s="6" t="str"/>
      <x:c r="H4" s="6" t="str"/>
      <x:c r="I4" s="6" t="str"/>
      <x:c r="J4" s="6" t="str"/>
      <x:c r="K4" s="6" t="str"/>
    </x:row>
    <x:row r="5">
      <x:c r="A5" s="6" t="str">
        <x:v>TC-004</x:v>
      </x:c>
      <x:c r="B5" s="6" t="str">
        <x:v>Repo Validation</x:v>
      </x:c>
      <x:c r="C5" s="6" t="str">
        <x:v>Validate Angular repo</x:v>
      </x:c>
      <x:c r="D5" s="6" t="str">
        <x:v>Confirm repo has package.json, Dockerfile, playwright.config.js, tests/e2e</x:v>
      </x:c>
      <x:c r="E5" s="6" t="str">
        <x:v>Required files exist</x:v>
      </x:c>
      <x:c r="F5" s="6" t="str"/>
      <x:c r="G5" s="6" t="str"/>
      <x:c r="H5" s="6" t="str"/>
      <x:c r="I5" s="6" t="str"/>
      <x:c r="J5" s="6" t="str"/>
      <x:c r="K5" s="6" t="str"/>
    </x:row>
    <x:row r="6">
      <x:c r="A6" s="6" t="str">
        <x:v>TC-005</x:v>
      </x:c>
      <x:c r="B6" s="6" t="str">
        <x:v>Repo Validation</x:v>
      </x:c>
      <x:c r="C6" s="6" t="str">
        <x:v>Local Angular build</x:v>
      </x:c>
      <x:c r="D6" s="6" t="str">
        <x:v>Run npm install and npm run prodbuild</x:v>
      </x:c>
      <x:c r="E6" s="6" t="str">
        <x:v>Production build succeeds</x:v>
      </x:c>
      <x:c r="F6" s="6" t="str"/>
      <x:c r="G6" s="6" t="str"/>
      <x:c r="H6" s="6" t="str"/>
      <x:c r="I6" s="6" t="str"/>
      <x:c r="J6" s="6" t="str"/>
      <x:c r="K6" s="6" t="str"/>
    </x:row>
    <x:row r="7">
      <x:c r="A7" s="6" t="str">
        <x:v>TC-006</x:v>
      </x:c>
      <x:c r="B7" s="6" t="str">
        <x:v>Repo Validation</x:v>
      </x:c>
      <x:c r="C7" s="6" t="str">
        <x:v>Local Selenium smoke test</x:v>
      </x:c>
      <x:c r="D7" s="6" t="str">
        <x:v>Run npm run test:e2e</x:v>
      </x:c>
      <x:c r="E7" s="6" t="str">
        <x:v>Selenium tests pass locally or documented local limitation exists</x:v>
      </x:c>
      <x:c r="F7" s="6" t="str"/>
      <x:c r="G7" s="6" t="str"/>
      <x:c r="H7" s="6" t="str"/>
      <x:c r="I7" s="6" t="str"/>
      <x:c r="J7" s="6" t="str"/>
      <x:c r="K7" s="6" t="str"/>
    </x:row>
    <x:row r="8">
      <x:c r="A8" s="6" t="str">
        <x:v>TC-007</x:v>
      </x:c>
      <x:c r="B8" s="6" t="str">
        <x:v>DEV Build</x:v>
      </x:c>
      <x:c r="C8" s="6" t="str">
        <x:v>Submit Devops Pipeline for DEV</x:v>
      </x:c>
      <x:c r="D8" s="6" t="str">
        <x:v>Use projectType Angular, branch main, environment DEV</x:v>
      </x:c>
      <x:c r="E8" s="6" t="str">
        <x:v>Pipeline request is accepted</x:v>
      </x:c>
      <x:c r="F8" s="6" t="str"/>
      <x:c r="G8" s="6" t="str"/>
      <x:c r="H8" s="6" t="str"/>
      <x:c r="I8" s="6" t="str"/>
      <x:c r="J8" s="6" t="str"/>
      <x:c r="K8" s="6" t="str"/>
    </x:row>
    <x:row r="9">
      <x:c r="A9" s="6" t="str">
        <x:v>TC-008</x:v>
      </x:c>
      <x:c r="B9" s="6" t="str">
        <x:v>DEV Build</x:v>
      </x:c>
      <x:c r="C9" s="6" t="str">
        <x:v>Validate Jenkins DEV checkout/build</x:v>
      </x:c>
      <x:c r="D9" s="6" t="str">
        <x:v>Review Jenkins DEV build stages</x:v>
      </x:c>
      <x:c r="E9" s="6" t="str">
        <x:v>Checkout, npm install, Angular build complete</x:v>
      </x:c>
      <x:c r="F9" s="6" t="str"/>
      <x:c r="G9" s="6" t="str"/>
      <x:c r="H9" s="6" t="str"/>
      <x:c r="I9" s="6" t="str"/>
      <x:c r="J9" s="6" t="str"/>
      <x:c r="K9" s="6" t="str"/>
    </x:row>
    <x:row r="10">
      <x:c r="A10" s="6" t="str">
        <x:v>TC-009</x:v>
      </x:c>
      <x:c r="B10" s="6" t="str">
        <x:v>DEV Build</x:v>
      </x:c>
      <x:c r="C10" s="6" t="str">
        <x:v>Validate Docker image build</x:v>
      </x:c>
      <x:c r="D10" s="6" t="str">
        <x:v>Review Jenkins Docker stage</x:v>
      </x:c>
      <x:c r="E10" s="6" t="str">
        <x:v>Image built with short commit tag and latest</x:v>
      </x:c>
      <x:c r="F10" s="6" t="str"/>
      <x:c r="G10" s="6" t="str"/>
      <x:c r="H10" s="6" t="str"/>
      <x:c r="I10" s="6" t="str"/>
      <x:c r="J10" s="6" t="str"/>
      <x:c r="K10" s="6" t="str"/>
    </x:row>
    <x:row r="11">
      <x:c r="A11" s="6" t="str">
        <x:v>TC-010</x:v>
      </x:c>
      <x:c r="B11" s="6" t="str">
        <x:v>DEV Build</x:v>
      </x:c>
      <x:c r="C11" s="6" t="str">
        <x:v>Validate ECR push</x:v>
      </x:c>
      <x:c r="D11" s="6" t="str">
        <x:v>Check ECR image URI and digest</x:v>
      </x:c>
      <x:c r="E11" s="6" t="str">
        <x:v>Image pushed to ECR</x:v>
      </x:c>
      <x:c r="F11" s="6" t="str"/>
      <x:c r="G11" s="6" t="str"/>
      <x:c r="H11" s="6" t="str"/>
      <x:c r="I11" s="6" t="str"/>
      <x:c r="J11" s="6" t="str"/>
      <x:c r="K11" s="6" t="str"/>
    </x:row>
    <x:row r="12">
      <x:c r="A12" s="6" t="str">
        <x:v>TC-011</x:v>
      </x:c>
      <x:c r="B12" s="6" t="str">
        <x:v>DEV Build</x:v>
      </x:c>
      <x:c r="C12" s="6" t="str">
        <x:v>Validate build artifacts</x:v>
      </x:c>
      <x:c r="D12" s="6" t="str">
        <x:v>Check S3 for image.json and templateconfiguration.json</x:v>
      </x:c>
      <x:c r="E12" s="6" t="str">
        <x:v>Both metadata files exist</x:v>
      </x:c>
      <x:c r="F12" s="6" t="str"/>
      <x:c r="G12" s="6" t="str"/>
      <x:c r="H12" s="6" t="str"/>
      <x:c r="I12" s="6" t="str"/>
      <x:c r="J12" s="6" t="str"/>
      <x:c r="K12" s="6" t="str"/>
    </x:row>
    <x:row r="13">
      <x:c r="A13" s="6" t="str">
        <x:v>TC-012</x:v>
      </x:c>
      <x:c r="B13" s="6" t="str">
        <x:v>DEV Deploy</x:v>
      </x:c>
      <x:c r="C13" s="6" t="str">
        <x:v>Validate DEV kubeconfig resolution</x:v>
      </x:c>
      <x:c r="D13" s="6" t="str">
        <x:v>Check Jenkins logs for DEV kubeconfig context</x:v>
      </x:c>
      <x:c r="E13" s="6" t="str">
        <x:v>Jenkins targets DEV cluster/context</x:v>
      </x:c>
      <x:c r="F13" s="6" t="str"/>
      <x:c r="G13" s="6" t="str"/>
      <x:c r="H13" s="6" t="str"/>
      <x:c r="I13" s="6" t="str"/>
      <x:c r="J13" s="6" t="str"/>
      <x:c r="K13" s="6" t="str"/>
    </x:row>
    <x:row r="14">
      <x:c r="A14" s="6" t="str">
        <x:v>TC-013</x:v>
      </x:c>
      <x:c r="B14" s="6" t="str">
        <x:v>DEV Deploy</x:v>
      </x:c>
      <x:c r="C14" s="6" t="str">
        <x:v>Validate DEV namespace deployment</x:v>
      </x:c>
      <x:c r="D14" s="6" t="str">
        <x:v>Run kubectl get pods/deploy in DEV namespace</x:v>
      </x:c>
      <x:c r="E14" s="6" t="str">
        <x:v>Deployment rollout succeeds and pod is Running</x:v>
      </x:c>
      <x:c r="F14" s="6" t="str"/>
      <x:c r="G14" s="6" t="str"/>
      <x:c r="H14" s="6" t="str"/>
      <x:c r="I14" s="6" t="str"/>
      <x:c r="J14" s="6" t="str"/>
      <x:c r="K14" s="6" t="str"/>
    </x:row>
    <x:row r="15">
      <x:c r="A15" s="6" t="str">
        <x:v>TC-014</x:v>
      </x:c>
      <x:c r="B15" s="6" t="str">
        <x:v>DEV Deploy</x:v>
      </x:c>
      <x:c r="C15" s="6" t="str">
        <x:v>Validate DEV app URL</x:v>
      </x:c>
      <x:c r="D15" s="6" t="str">
        <x:v>Curl or browse DEV app URL</x:v>
      </x:c>
      <x:c r="E15" s="6" t="str">
        <x:v>Application responds with HTTP 200</x:v>
      </x:c>
      <x:c r="F15" s="6" t="str"/>
      <x:c r="G15" s="6" t="str"/>
      <x:c r="H15" s="6" t="str"/>
      <x:c r="I15" s="6" t="str"/>
      <x:c r="J15" s="6" t="str"/>
      <x:c r="K15" s="6" t="str"/>
    </x:row>
    <x:row r="16">
      <x:c r="A16" s="6" t="str">
        <x:v>TC-015</x:v>
      </x:c>
      <x:c r="B16" s="6" t="str">
        <x:v>QA Build/Deploy</x:v>
      </x:c>
      <x:c r="C16" s="6" t="str">
        <x:v>Submit Devops Pipeline for QA</x:v>
      </x:c>
      <x:c r="D16" s="6" t="str">
        <x:v>Use same repo/branch with environment QA</x:v>
      </x:c>
      <x:c r="E16" s="6" t="str">
        <x:v>Pipeline request is accepted</x:v>
      </x:c>
      <x:c r="F16" s="6" t="str"/>
      <x:c r="G16" s="6" t="str"/>
      <x:c r="H16" s="6" t="str"/>
      <x:c r="I16" s="6" t="str"/>
      <x:c r="J16" s="6" t="str"/>
      <x:c r="K16" s="6" t="str"/>
    </x:row>
    <x:row r="17">
      <x:c r="A17" s="6" t="str">
        <x:v>TC-016</x:v>
      </x:c>
      <x:c r="B17" s="6" t="str">
        <x:v>QA Build/Deploy</x:v>
      </x:c>
      <x:c r="C17" s="6" t="str">
        <x:v>Validate QA kubeconfig resolution</x:v>
      </x:c>
      <x:c r="D17" s="6" t="str">
        <x:v>Check Jenkins logs for QA kubeconfig context</x:v>
      </x:c>
      <x:c r="E17" s="6" t="str">
        <x:v>Jenkins targets QA cluster/context</x:v>
      </x:c>
      <x:c r="F17" s="6" t="str"/>
      <x:c r="G17" s="6" t="str"/>
      <x:c r="H17" s="6" t="str"/>
      <x:c r="I17" s="6" t="str"/>
      <x:c r="J17" s="6" t="str"/>
      <x:c r="K17" s="6" t="str"/>
    </x:row>
    <x:row r="18">
      <x:c r="A18" s="6" t="str">
        <x:v>TC-017</x:v>
      </x:c>
      <x:c r="B18" s="6" t="str">
        <x:v>QA Build/Deploy</x:v>
      </x:c>
      <x:c r="C18" s="6" t="str">
        <x:v>Validate QA namespace deployment</x:v>
      </x:c>
      <x:c r="D18" s="6" t="str">
        <x:v>Run kubectl get pods/deploy in QA namespace</x:v>
      </x:c>
      <x:c r="E18" s="6" t="str">
        <x:v>Deployment rollout succeeds and pod is Running</x:v>
      </x:c>
      <x:c r="F18" s="6" t="str"/>
      <x:c r="G18" s="6" t="str"/>
      <x:c r="H18" s="6" t="str"/>
      <x:c r="I18" s="6" t="str"/>
      <x:c r="J18" s="6" t="str"/>
      <x:c r="K18" s="6" t="str"/>
    </x:row>
    <x:row r="19">
      <x:c r="A19" s="6" t="str">
        <x:v>TC-018</x:v>
      </x:c>
      <x:c r="B19" s="6" t="str">
        <x:v>QA Build/Deploy</x:v>
      </x:c>
      <x:c r="C19" s="6" t="str">
        <x:v>Validate QA app URL</x:v>
      </x:c>
      <x:c r="D19" s="6" t="str">
        <x:v>Curl or browse QA app URL</x:v>
      </x:c>
      <x:c r="E19" s="6" t="str">
        <x:v>Application responds with HTTP 200</x:v>
      </x:c>
      <x:c r="F19" s="6" t="str"/>
      <x:c r="G19" s="6" t="str"/>
      <x:c r="H19" s="6" t="str"/>
      <x:c r="I19" s="6" t="str"/>
      <x:c r="J19" s="6" t="str"/>
      <x:c r="K19" s="6" t="str"/>
    </x:row>
    <x:row r="20">
      <x:c r="A20" s="6" t="str">
        <x:v>TC-019</x:v>
      </x:c>
      <x:c r="B20" s="6" t="str">
        <x:v>Selenium Pipeline</x:v>
      </x:c>
      <x:c r="C20" s="6" t="str">
        <x:v>Submit Test Devops Pipeline</x:v>
      </x:c>
      <x:c r="D20" s="6" t="str">
        <x:v>Select Test Devops Pipeline, Angular, Selenium, QA target app URL</x:v>
      </x:c>
      <x:c r="E20" s="6" t="str">
        <x:v>Test pipeline request is accepted</x:v>
      </x:c>
      <x:c r="F20" s="6" t="str"/>
      <x:c r="G20" s="6" t="str"/>
      <x:c r="H20" s="6" t="str"/>
      <x:c r="I20" s="6" t="str"/>
      <x:c r="J20" s="6" t="str"/>
      <x:c r="K20" s="6" t="str"/>
    </x:row>
    <x:row r="21">
      <x:c r="A21" s="6" t="str">
        <x:v>TC-020</x:v>
      </x:c>
      <x:c r="B21" s="6" t="str">
        <x:v>Selenium Pipeline</x:v>
      </x:c>
      <x:c r="C21" s="6" t="str">
        <x:v>Validate TARGET_APP_URL</x:v>
      </x:c>
      <x:c r="D21" s="6" t="str">
        <x:v>Review Jenkins logs</x:v>
      </x:c>
      <x:c r="E21" s="6" t="str">
        <x:v>TARGET_APP_URL equals QA app URL</x:v>
      </x:c>
      <x:c r="F21" s="6" t="str"/>
      <x:c r="G21" s="6" t="str"/>
      <x:c r="H21" s="6" t="str"/>
      <x:c r="I21" s="6" t="str"/>
      <x:c r="J21" s="6" t="str"/>
      <x:c r="K21" s="6" t="str"/>
    </x:row>
    <x:row r="22">
      <x:c r="A22" s="6" t="str">
        <x:v>TC-021</x:v>
      </x:c>
      <x:c r="B22" s="6" t="str">
        <x:v>Selenium Pipeline</x:v>
      </x:c>
      <x:c r="C22" s="6" t="str">
        <x:v>Validate dependency install</x:v>
      </x:c>
      <x:c r="D22" s="6" t="str">
        <x:v>Review npm install/npm ci logs</x:v>
      </x:c>
      <x:c r="E22" s="6" t="str">
        <x:v>Dependencies install successfully</x:v>
      </x:c>
      <x:c r="F22" s="6" t="str"/>
      <x:c r="G22" s="6" t="str"/>
      <x:c r="H22" s="6" t="str"/>
      <x:c r="I22" s="6" t="str"/>
      <x:c r="J22" s="6" t="str"/>
      <x:c r="K22" s="6" t="str"/>
    </x:row>
    <x:row r="23">
      <x:c r="A23" s="6" t="str">
        <x:v>TC-022</x:v>
      </x:c>
      <x:c r="B23" s="6" t="str">
        <x:v>Selenium Pipeline</x:v>
      </x:c>
      <x:c r="C23" s="6" t="str">
        <x:v>Validate browser install</x:v>
      </x:c>
      <x:c r="D23" s="6" t="str">
        <x:v>Review npx playwright install chromium logs</x:v>
      </x:c>
      <x:c r="E23" s="6" t="str">
        <x:v>Browser install succeeds or browser already available</x:v>
      </x:c>
      <x:c r="F23" s="6" t="str"/>
      <x:c r="G23" s="6" t="str"/>
      <x:c r="H23" s="6" t="str"/>
      <x:c r="I23" s="6" t="str"/>
      <x:c r="J23" s="6" t="str"/>
      <x:c r="K23" s="6" t="str"/>
    </x:row>
    <x:row r="24">
      <x:c r="A24" s="6" t="str">
        <x:v>TC-023</x:v>
      </x:c>
      <x:c r="B24" s="6" t="str">
        <x:v>Selenium Pipeline</x:v>
      </x:c>
      <x:c r="C24" s="6" t="str">
        <x:v>Validate Selenium test execution</x:v>
      </x:c>
      <x:c r="D24" s="6" t="str">
        <x:v>Review npm run test:e2e logs</x:v>
      </x:c>
      <x:c r="E24" s="6" t="str">
        <x:v>Expected tests pass</x:v>
      </x:c>
      <x:c r="F24" s="6" t="str"/>
      <x:c r="G24" s="6" t="str"/>
      <x:c r="H24" s="6" t="str"/>
      <x:c r="I24" s="6" t="str"/>
      <x:c r="J24" s="6" t="str"/>
      <x:c r="K24" s="6" t="str"/>
    </x:row>
    <x:row r="25">
      <x:c r="A25" s="6" t="str">
        <x:v>TC-024</x:v>
      </x:c>
      <x:c r="B25" s="6" t="str">
        <x:v>Selenium Evidence</x:v>
      </x:c>
      <x:c r="C25" s="6" t="str">
        <x:v>Validate JUnit report</x:v>
      </x:c>
      <x:c r="D25" s="6" t="str">
        <x:v>Check reports/selenium/junit.xml</x:v>
      </x:c>
      <x:c r="E25" s="6" t="str">
        <x:v>JUnit report exists</x:v>
      </x:c>
      <x:c r="F25" s="6" t="str"/>
      <x:c r="G25" s="6" t="str"/>
      <x:c r="H25" s="6" t="str"/>
      <x:c r="I25" s="6" t="str"/>
      <x:c r="J25" s="6" t="str"/>
      <x:c r="K25" s="6" t="str"/>
    </x:row>
    <x:row r="26">
      <x:c r="A26" s="6" t="str">
        <x:v>TC-025</x:v>
      </x:c>
      <x:c r="B26" s="6" t="str">
        <x:v>Selenium Evidence</x:v>
      </x:c>
      <x:c r="C26" s="6" t="str">
        <x:v>Validate HTML report</x:v>
      </x:c>
      <x:c r="D26" s="6" t="str">
        <x:v>Check reports/selenium/html-report</x:v>
      </x:c>
      <x:c r="E26" s="6" t="str">
        <x:v>HTML report exists</x:v>
      </x:c>
      <x:c r="F26" s="6" t="str"/>
      <x:c r="G26" s="6" t="str"/>
      <x:c r="H26" s="6" t="str"/>
      <x:c r="I26" s="6" t="str"/>
      <x:c r="J26" s="6" t="str"/>
      <x:c r="K26" s="6" t="str"/>
    </x:row>
    <x:row r="27">
      <x:c r="A27" s="6" t="str">
        <x:v>TC-026</x:v>
      </x:c>
      <x:c r="B27" s="6" t="str">
        <x:v>Selenium Evidence</x:v>
      </x:c>
      <x:c r="C27" s="6" t="str">
        <x:v>Validate S3 upload</x:v>
      </x:c>
      <x:c r="D27" s="6" t="str">
        <x:v>Check S3 Selenium report prefix</x:v>
      </x:c>
      <x:c r="E27" s="6" t="str">
        <x:v>Reports uploaded to client artifact bucket</x:v>
      </x:c>
      <x:c r="F27" s="6" t="str"/>
      <x:c r="G27" s="6" t="str"/>
      <x:c r="H27" s="6" t="str"/>
      <x:c r="I27" s="6" t="str"/>
      <x:c r="J27" s="6" t="str"/>
      <x:c r="K27" s="6" t="str"/>
    </x:row>
    <x:row r="28">
      <x:c r="A28" s="6" t="str">
        <x:v>TC-027</x:v>
      </x:c>
      <x:c r="B28" s="6" t="str">
        <x:v>Notification</x:v>
      </x:c>
      <x:c r="C28" s="6" t="str">
        <x:v>Validate email notification</x:v>
      </x:c>
      <x:c r="D28" s="6" t="str">
        <x:v>Check configured recipient inbox</x:v>
      </x:c>
      <x:c r="E28" s="6" t="str">
        <x:v>Success/failure email received when enabled</x:v>
      </x:c>
      <x:c r="F28" s="6" t="str"/>
      <x:c r="G28" s="6" t="str"/>
      <x:c r="H28" s="6" t="str"/>
      <x:c r="I28" s="6" t="str"/>
      <x:c r="J28" s="6" t="str"/>
      <x:c r="K28" s="6" t="str"/>
    </x:row>
    <x:row r="29">
      <x:c r="A29" s="6" t="str">
        <x:v>TC-028</x:v>
      </x:c>
      <x:c r="B29" s="6" t="str">
        <x:v>Negative Test</x:v>
      </x:c>
      <x:c r="C29" s="6" t="str">
        <x:v>Run intentional UI failure branch</x:v>
      </x:c>
      <x:c r="D29" s="6" t="str">
        <x:v>Break assertion or label and rerun Selenium pipeline</x:v>
      </x:c>
      <x:c r="E29" s="6" t="str">
        <x:v>Pipeline fails with useful report/screenshot/trace</x:v>
      </x:c>
      <x:c r="F29" s="6" t="str"/>
      <x:c r="G29" s="6" t="str"/>
      <x:c r="H29" s="6" t="str"/>
      <x:c r="I29" s="6" t="str"/>
      <x:c r="J29" s="6" t="str"/>
      <x:c r="K29" s="6" t="str"/>
    </x:row>
    <x:row r="30">
      <x:c r="A30" s="6" t="str">
        <x:v>TC-029</x:v>
      </x:c>
      <x:c r="B30" s="6" t="str">
        <x:v>Traceability</x:v>
      </x:c>
      <x:c r="C30" s="6" t="str">
        <x:v>Record Jenkins URLs</x:v>
      </x:c>
      <x:c r="D30" s="6" t="str">
        <x:v>Paste DEV, QA, and Selenium Jenkins build URLs</x:v>
      </x:c>
      <x:c r="E30" s="6" t="str">
        <x:v>Evidence tracker has all Jenkins links</x:v>
      </x:c>
      <x:c r="F30" s="6" t="str"/>
      <x:c r="G30" s="6" t="str"/>
      <x:c r="H30" s="6" t="str"/>
      <x:c r="I30" s="6" t="str"/>
      <x:c r="J30" s="6" t="str"/>
      <x:c r="K30" s="6" t="str"/>
    </x:row>
    <x:row r="31">
      <x:c r="A31" s="6" t="str">
        <x:v>TC-030</x:v>
      </x:c>
      <x:c r="B31" s="6" t="str">
        <x:v>Final Review</x:v>
      </x:c>
      <x:c r="C31" s="6" t="str">
        <x:v>Review all evidence</x:v>
      </x:c>
      <x:c r="D31" s="6" t="str">
        <x:v>Confirm each actual result and comment is filled</x:v>
      </x:c>
      <x:c r="E31" s="6" t="str">
        <x:v>Overall status is Pass or documented with defects</x:v>
      </x:c>
      <x:c r="F31" s="6" t="str"/>
      <x:c r="G31" s="6" t="str"/>
      <x:c r="H31" s="6" t="str"/>
      <x:c r="I31" s="6" t="str"/>
      <x:c r="J31" s="6" t="str"/>
      <x:c r="K31" s="6" t="str"/>
    </x:row>
  </x:sheetData>
  <x:dataValidations count="1">
    <x:dataValidation allowBlank="1" sqref="J2:J31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Defect ID</x:v>
      </x:c>
      <x:c r="B1" s="5" t="str">
        <x:v>Related Test ID</x:v>
      </x:c>
      <x:c r="C1" s="5" t="str">
        <x:v>Severity</x:v>
      </x:c>
      <x:c r="D1" s="5" t="str">
        <x:v>Summary</x:v>
      </x:c>
      <x:c r="E1" s="5" t="str">
        <x:v>Observed Result</x:v>
      </x:c>
      <x:c r="F1" s="5" t="str">
        <x:v>Expected Result</x:v>
      </x:c>
      <x:c r="G1" s="5" t="str">
        <x:v>Owner</x:v>
      </x:c>
      <x:c r="H1" s="5" t="str">
        <x:v>Status</x:v>
      </x:c>
      <x:c r="I1" s="5" t="str">
        <x:v>Resolution Notes</x:v>
      </x:c>
      <x:c r="J1" s="2"/>
      <x:c r="K1" s="2"/>
    </x:row>
    <x:row r="2">
      <x:c r="A2" s="6" t="str">
        <x:v>DEF-001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</x:row>
    <x:row r="3">
      <x:c r="A3" s="6" t="str">
        <x:v>DEF-002</x:v>
      </x:c>
      <x:c r="B3" s="6" t="str"/>
      <x:c r="C3" s="6" t="str"/>
      <x:c r="D3" s="6" t="str"/>
      <x:c r="E3" s="6" t="str"/>
      <x:c r="F3" s="6" t="str"/>
      <x:c r="G3" s="6" t="str"/>
      <x:c r="H3" s="6" t="str"/>
      <x:c r="I3" s="6" t="str"/>
    </x:row>
    <x:row r="4">
      <x:c r="A4" s="6" t="str">
        <x:v>DEF-003</x:v>
      </x:c>
      <x:c r="B4" s="6" t="str"/>
      <x:c r="C4" s="6" t="str"/>
      <x:c r="D4" s="6" t="str"/>
      <x:c r="E4" s="6" t="str"/>
      <x:c r="F4" s="6" t="str"/>
      <x:c r="G4" s="6" t="str"/>
      <x:c r="H4" s="6" t="str"/>
      <x:c r="I4" s="6" t="str"/>
    </x:row>
    <x:row r="5">
      <x:c r="A5" s="6" t="str">
        <x:v>DEF-004</x:v>
      </x:c>
      <x:c r="B5" s="6" t="str"/>
      <x:c r="C5" s="6" t="str"/>
      <x:c r="D5" s="6" t="str"/>
      <x:c r="E5" s="6" t="str"/>
      <x:c r="F5" s="6" t="str"/>
      <x:c r="G5" s="6" t="str"/>
      <x:c r="H5" s="6" t="str"/>
      <x:c r="I5" s="6" t="str"/>
    </x:row>
    <x:row r="6">
      <x:c r="A6" s="6" t="str">
        <x:v>DEF-005</x:v>
      </x:c>
      <x:c r="B6" s="6" t="str"/>
      <x:c r="C6" s="6" t="str"/>
      <x:c r="D6" s="6" t="str"/>
      <x:c r="E6" s="6" t="str"/>
      <x:c r="F6" s="6" t="str"/>
      <x:c r="G6" s="6" t="str"/>
      <x:c r="H6" s="6" t="str"/>
      <x:c r="I6" s="6" t="str"/>
    </x:row>
  </x:sheetData>
  <x:dataValidations count="2">
    <x:dataValidation allowBlank="1" sqref="C2:C100"/>
    <x:dataValidation allowBlank="1" sqref="H2:H100"/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5" t="str">
        <x:v>Field</x:v>
      </x:c>
      <x:c r="B1" s="5" t="str">
        <x:v>Value</x:v>
      </x:c>
      <x:c r="C1" s="5" t="str">
        <x:v>Owner</x:v>
      </x:c>
      <x:c r="D1" s="5" t="str">
        <x:v>Notes</x:v>
      </x:c>
      <x:c r="E1" s="2"/>
      <x:c r="F1" s="2"/>
      <x:c r="G1" s="2"/>
      <x:c r="H1" s="2"/>
      <x:c r="I1" s="2"/>
      <x:c r="J1" s="2"/>
      <x:c r="K1" s="2"/>
    </x:row>
    <x:row r="2">
      <x:c r="A2" s="6" t="str">
        <x:v>Product UI URL</x:v>
      </x:c>
      <x:c r="B2" s="6" t="str">
        <x:v>https://horizonrelevance.com/pipeline/</x:v>
      </x:c>
      <x:c r="C2" s="6" t="str">
        <x:v>Platform</x:v>
      </x:c>
      <x:c r="D2" s="6" t="str"/>
    </x:row>
    <x:row r="3">
      <x:c r="A3" s="6" t="str">
        <x:v>Jenkins URL</x:v>
      </x:c>
      <x:c r="B3" s="6" t="str">
        <x:v>https://horizonrelevance.com/jenkins/</x:v>
      </x:c>
      <x:c r="C3" s="6" t="str">
        <x:v>Platform</x:v>
      </x:c>
      <x:c r="D3" s="6" t="str"/>
    </x:row>
    <x:row r="4">
      <x:c r="A4" s="6" t="str">
        <x:v>Backend Docs URL</x:v>
      </x:c>
      <x:c r="B4" s="6" t="str">
        <x:v>https://horizonrelevance.com/pipeline/api/docs</x:v>
      </x:c>
      <x:c r="C4" s="6" t="str">
        <x:v>Platform</x:v>
      </x:c>
      <x:c r="D4" s="6" t="str"/>
    </x:row>
    <x:row r="5">
      <x:c r="A5" s="6" t="str">
        <x:v>GitHub Repo</x:v>
      </x:c>
      <x:c r="B5" s="6" t="str">
        <x:v>https://github.com/ankur1825/horizon-demo-angular</x:v>
      </x:c>
      <x:c r="C5" s="6" t="str">
        <x:v>Client Engineer</x:v>
      </x:c>
      <x:c r="D5" s="6" t="str"/>
    </x:row>
    <x:row r="6">
      <x:c r="A6" s="6" t="str">
        <x:v>Branch</x:v>
      </x:c>
      <x:c r="B6" s="6" t="str">
        <x:v>main</x:v>
      </x:c>
      <x:c r="C6" s="6" t="str">
        <x:v>Client Engineer</x:v>
      </x:c>
      <x:c r="D6" s="6" t="str"/>
    </x:row>
    <x:row r="7">
      <x:c r="A7" s="6" t="str">
        <x:v>Project Type</x:v>
      </x:c>
      <x:c r="B7" s="6" t="str">
        <x:v>Angular</x:v>
      </x:c>
      <x:c r="C7" s="6" t="str">
        <x:v>Client Engineer</x:v>
      </x:c>
      <x:c r="D7" s="6" t="str"/>
    </x:row>
    <x:row r="8">
      <x:c r="A8" s="6" t="str">
        <x:v>DEV Environment</x:v>
      </x:c>
      <x:c r="B8" s="6" t="str">
        <x:v>DEV</x:v>
      </x:c>
      <x:c r="C8" s="6" t="str">
        <x:v>Platform</x:v>
      </x:c>
      <x:c r="D8" s="6" t="str"/>
    </x:row>
    <x:row r="9">
      <x:c r="A9" s="6" t="str">
        <x:v>DEV Namespace</x:v>
      </x:c>
      <x:c r="B9" s="6" t="str">
        <x:v>horizon-demo-angular-dev</x:v>
      </x:c>
      <x:c r="C9" s="6" t="str">
        <x:v>Platform</x:v>
      </x:c>
      <x:c r="D9" s="6" t="str">
        <x:v>Update if client uses another namespace</x:v>
      </x:c>
    </x:row>
    <x:row r="10">
      <x:c r="A10" s="6" t="str">
        <x:v>QA Environment</x:v>
      </x:c>
      <x:c r="B10" s="6" t="str">
        <x:v>QA</x:v>
      </x:c>
      <x:c r="C10" s="6" t="str">
        <x:v>Platform</x:v>
      </x:c>
      <x:c r="D10" s="6" t="str"/>
    </x:row>
    <x:row r="11">
      <x:c r="A11" s="6" t="str">
        <x:v>QA Namespace</x:v>
      </x:c>
      <x:c r="B11" s="6" t="str">
        <x:v>horizon-demo-angular-qa</x:v>
      </x:c>
      <x:c r="C11" s="6" t="str">
        <x:v>Platform</x:v>
      </x:c>
      <x:c r="D11" s="6" t="str">
        <x:v>Update if client uses another namespace</x:v>
      </x:c>
    </x:row>
    <x:row r="12">
      <x:c r="A12" s="6" t="str">
        <x:v>DEV App URL</x:v>
      </x:c>
      <x:c r="B12" s="6" t="str"/>
      <x:c r="C12" s="6" t="str">
        <x:v>Client Engineer</x:v>
      </x:c>
      <x:c r="D12" s="6" t="str">
        <x:v>Fill after deployment</x:v>
      </x:c>
    </x:row>
    <x:row r="13">
      <x:c r="A13" s="6" t="str">
        <x:v>QA App URL</x:v>
      </x:c>
      <x:c r="B13" s="6" t="str"/>
      <x:c r="C13" s="6" t="str">
        <x:v>Client Engineer</x:v>
      </x:c>
      <x:c r="D13" s="6" t="str">
        <x:v>Used as TARGET_APP_URL for Selenium</x:v>
      </x:c>
    </x:row>
    <x:row r="14">
      <x:c r="A14" s="6" t="str">
        <x:v>ECR Image URI</x:v>
      </x:c>
      <x:c r="B14" s="6" t="str"/>
      <x:c r="C14" s="6" t="str">
        <x:v>Platform</x:v>
      </x:c>
      <x:c r="D14" s="6" t="str"/>
    </x:row>
    <x:row r="15">
      <x:c r="A15" s="6" t="str">
        <x:v>Image Digest</x:v>
      </x:c>
      <x:c r="B15" s="6" t="str"/>
      <x:c r="C15" s="6" t="str">
        <x:v>Platform</x:v>
      </x:c>
      <x:c r="D15" s="6" t="str"/>
    </x:row>
    <x:row r="16">
      <x:c r="A16" s="6" t="str">
        <x:v>Build Artifact S3 Path</x:v>
      </x:c>
      <x:c r="B16" s="6" t="str"/>
      <x:c r="C16" s="6" t="str">
        <x:v>Platform</x:v>
      </x:c>
      <x:c r="D16" s="6" t="str">
        <x:v>image.json and templateconfiguration.json</x:v>
      </x:c>
    </x:row>
    <x:row r="17">
      <x:c r="A17" s="6" t="str">
        <x:v>Selenium Report S3 Path</x:v>
      </x:c>
      <x:c r="B17" s="6" t="str"/>
      <x:c r="C17" s="6" t="str">
        <x:v>Platform</x:v>
      </x:c>
      <x:c r="D17" s="6" t="str">
        <x:v>reports/selenium upload path</x:v>
      </x:c>
    </x:row>
    <x:row r="18">
      <x:c r="A18" s="6" t="str">
        <x:v>Notification Email</x:v>
      </x:c>
      <x:c r="B18" s="6" t="str"/>
      <x:c r="C18" s="6" t="str">
        <x:v>Client Engineer</x:v>
      </x:c>
      <x:c r="D18" s="6" t="str"/>
    </x:row>
    <x:row r="19">
      <x:c r="A19" s="6" t="str">
        <x:v>Jenkins DEV Build URL</x:v>
      </x:c>
      <x:c r="B19" s="6" t="str"/>
      <x:c r="C19" s="6" t="str">
        <x:v>Client Engineer</x:v>
      </x:c>
      <x:c r="D19" s="6" t="str"/>
    </x:row>
    <x:row r="20">
      <x:c r="A20" s="6" t="str">
        <x:v>Jenkins QA Build URL</x:v>
      </x:c>
      <x:c r="B20" s="6" t="str"/>
      <x:c r="C20" s="6" t="str">
        <x:v>Client Engineer</x:v>
      </x:c>
      <x:c r="D20" s="6" t="str"/>
    </x:row>
    <x:row r="21">
      <x:c r="A21" s="6" t="str">
        <x:v>Jenkins Selenium Build URL</x:v>
      </x:c>
      <x:c r="B21" s="6" t="str"/>
      <x:c r="C21" s="6" t="str">
        <x:v>Client Engineer</x:v>
      </x:c>
      <x:c r="D21" s="6" t="str"/>
    </x:row>
    <x:row r="22">
      <x:c r="A22" s="6" t="str">
        <x:v>License Tier</x:v>
      </x:c>
      <x:c r="B22" s="6" t="str">
        <x:v>Trial / Paid / Enterprise</x:v>
      </x:c>
      <x:c r="C22" s="6" t="str">
        <x:v>Platform</x:v>
      </x:c>
      <x:c r="D22" s="6" t="str">
        <x:v>Select actual tier</x:v>
      </x:c>
    </x:row>
  </x:sheetData>
  <x:pageMargins left="0.7" right="0.7" top="0.75" bottom="0.75" header="0.3" footer="0.3"/>
</x:worksheet>
</file>